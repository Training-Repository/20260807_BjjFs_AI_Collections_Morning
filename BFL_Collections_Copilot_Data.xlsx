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09E200F7-8E4A-496A-9B84-F3FF987129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ll Interaction Log" sheetId="1" r:id="rId1"/>
    <sheet name="Account Priority Matrix" sheetId="2" r:id="rId2"/>
    <sheet name="Collections Performance" sheetId="3" r:id="rId3"/>
    <sheet name="Overdue Trend Analysis" sheetId="4" r:id="rId4"/>
    <sheet name="Recovery Strategy Track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J13" i="3"/>
  <c r="I13" i="3"/>
  <c r="H13" i="3"/>
  <c r="G13" i="3"/>
  <c r="F13" i="3"/>
  <c r="E13" i="3"/>
  <c r="D13" i="3"/>
  <c r="C13" i="3"/>
  <c r="B13" i="3"/>
</calcChain>
</file>

<file path=xl/sharedStrings.xml><?xml version="1.0" encoding="utf-8"?>
<sst xmlns="http://schemas.openxmlformats.org/spreadsheetml/2006/main" count="556" uniqueCount="301">
  <si>
    <t>BFL Collections — Customer Call Interaction Log</t>
  </si>
  <si>
    <t>Source: Collections CRM | Period: Apr–May FY2026-27 | Bajaj Finance Limited</t>
  </si>
  <si>
    <t>Call ID</t>
  </si>
  <si>
    <t>Date</t>
  </si>
  <si>
    <t>Customer Name</t>
  </si>
  <si>
    <t>Account ID</t>
  </si>
  <si>
    <t>Product</t>
  </si>
  <si>
    <t>DPD</t>
  </si>
  <si>
    <t>Outstanding (₹)</t>
  </si>
  <si>
    <t>Call Outcome</t>
  </si>
  <si>
    <t>PTP Date</t>
  </si>
  <si>
    <t>PTP Amount (₹)</t>
  </si>
  <si>
    <t>Action Taken</t>
  </si>
  <si>
    <t>CL-00101</t>
  </si>
  <si>
    <t>30 May 2026</t>
  </si>
  <si>
    <t>Ramesh Patil</t>
  </si>
  <si>
    <t>BFL-PL-884721</t>
  </si>
  <si>
    <t>Personal Loan</t>
  </si>
  <si>
    <t>42500</t>
  </si>
  <si>
    <t>PTP Confirmed</t>
  </si>
  <si>
    <t>5 Jun 2026</t>
  </si>
  <si>
    <t>Reminder set; email sent; PTP logged in CRM</t>
  </si>
  <si>
    <t>CL-00102</t>
  </si>
  <si>
    <t>Sunita Mehta</t>
  </si>
  <si>
    <t>BFL-HL-221034</t>
  </si>
  <si>
    <t>Home Loan</t>
  </si>
  <si>
    <t>184000</t>
  </si>
  <si>
    <t>Escalated</t>
  </si>
  <si>
    <t>—</t>
  </si>
  <si>
    <t>Escalated to Branch Manager; dispute on EMI amount</t>
  </si>
  <si>
    <t>CL-00103</t>
  </si>
  <si>
    <t>29 May 2026</t>
  </si>
  <si>
    <t>Anil Sharma</t>
  </si>
  <si>
    <t>BFL-GL-556210</t>
  </si>
  <si>
    <t>Gold Loan</t>
  </si>
  <si>
    <t>28000</t>
  </si>
  <si>
    <t>3 Jun 2026</t>
  </si>
  <si>
    <t>WhatsApp reminder set; customer travelling</t>
  </si>
  <si>
    <t>CL-00104</t>
  </si>
  <si>
    <t>Kavita Deshmukh</t>
  </si>
  <si>
    <t>BFL-TW-990017</t>
  </si>
  <si>
    <t>Two-Wheeler</t>
  </si>
  <si>
    <t>9200</t>
  </si>
  <si>
    <t>No Response</t>
  </si>
  <si>
    <t>3rd attempt failed; field visit booked 2 Jun</t>
  </si>
  <si>
    <t>CL-00105</t>
  </si>
  <si>
    <t>28 May 2026</t>
  </si>
  <si>
    <t>Suresh Nair</t>
  </si>
  <si>
    <t>BFL-BL-113402</t>
  </si>
  <si>
    <t>Business Loan</t>
  </si>
  <si>
    <t>95000</t>
  </si>
  <si>
    <t>Partial PTP</t>
  </si>
  <si>
    <t>1 Jun 2026</t>
  </si>
  <si>
    <t>40000</t>
  </si>
  <si>
    <t>Balance ₹55,000 by 15 Jun; restructuring check initiated</t>
  </si>
  <si>
    <t>CL-00106</t>
  </si>
  <si>
    <t>Priya Kulkarni</t>
  </si>
  <si>
    <t>BFL-HL-330017</t>
  </si>
  <si>
    <t>420000</t>
  </si>
  <si>
    <t>Dispute</t>
  </si>
  <si>
    <t>Customer claims pre-payment not adjusted; verification pending</t>
  </si>
  <si>
    <t>CL-00107</t>
  </si>
  <si>
    <t>27 May 2026</t>
  </si>
  <si>
    <t>Deepak Joshi</t>
  </si>
  <si>
    <t>BFL-PL-441022</t>
  </si>
  <si>
    <t>185000</t>
  </si>
  <si>
    <t>Legal notice being prepared; 3rd escalation</t>
  </si>
  <si>
    <t>CL-00108</t>
  </si>
  <si>
    <t>Meena Rao</t>
  </si>
  <si>
    <t>BFL-GL-550099</t>
  </si>
  <si>
    <t>58000</t>
  </si>
  <si>
    <t>4 Jun 2026</t>
  </si>
  <si>
    <t>Field officer to verify gold pledge document</t>
  </si>
  <si>
    <t>CL-00109</t>
  </si>
  <si>
    <t>26 May 2026</t>
  </si>
  <si>
    <t>Santosh More</t>
  </si>
  <si>
    <t>BFL-TW-771203</t>
  </si>
  <si>
    <t>32000</t>
  </si>
  <si>
    <t>2 Jun 2026</t>
  </si>
  <si>
    <t>Follow-up call 1 Jun if payment not received</t>
  </si>
  <si>
    <t>CL-00110</t>
  </si>
  <si>
    <t>Anita Bhatt</t>
  </si>
  <si>
    <t>BFL-PL-882910</t>
  </si>
  <si>
    <t>120000</t>
  </si>
  <si>
    <t>Promise Broken</t>
  </si>
  <si>
    <t>2nd missed PTP; escalated to senior collector</t>
  </si>
  <si>
    <t>CL-00111</t>
  </si>
  <si>
    <t>25 May 2026</t>
  </si>
  <si>
    <t>Farhan Shaikh</t>
  </si>
  <si>
    <t>BFL-BL-114500</t>
  </si>
  <si>
    <t>390000</t>
  </si>
  <si>
    <t>Customer confirmed NEFT transfer; SMS reminder sent</t>
  </si>
  <si>
    <t>CL-00112</t>
  </si>
  <si>
    <t>Vijay Nambiar</t>
  </si>
  <si>
    <t>BFL-HL-223401</t>
  </si>
  <si>
    <t>510000</t>
  </si>
  <si>
    <t>Callback Requested</t>
  </si>
  <si>
    <t>Customer in meeting; callback at 6 PM 25 May</t>
  </si>
  <si>
    <t>CL-00113</t>
  </si>
  <si>
    <t>24 May 2026</t>
  </si>
  <si>
    <t>Rashmi Singh</t>
  </si>
  <si>
    <t>BFL-GL-660124</t>
  </si>
  <si>
    <t>74000</t>
  </si>
  <si>
    <t>Pledge renewal also due; intimated customer</t>
  </si>
  <si>
    <t>CL-00114</t>
  </si>
  <si>
    <t>Ganesh Pawar</t>
  </si>
  <si>
    <t>BFL-TW-880341</t>
  </si>
  <si>
    <t>22000</t>
  </si>
  <si>
    <t>UPI payment preferred; link shared via WhatsApp</t>
  </si>
  <si>
    <t>CL-00115</t>
  </si>
  <si>
    <t>23 May 2026</t>
  </si>
  <si>
    <t>Swati Iyer</t>
  </si>
  <si>
    <t>BFL-PL-993001</t>
  </si>
  <si>
    <t>240000</t>
  </si>
  <si>
    <t>NPA provisioning under review; legal team notified</t>
  </si>
  <si>
    <t>CL-00116</t>
  </si>
  <si>
    <t>Rohan Mishra</t>
  </si>
  <si>
    <t>BFL-BL-551820</t>
  </si>
  <si>
    <t>31 May 2026</t>
  </si>
  <si>
    <t>300000</t>
  </si>
  <si>
    <t>Partial payment ₹3L; balance negotiated for 15 Jun</t>
  </si>
  <si>
    <t>CL-00117</t>
  </si>
  <si>
    <t>22 May 2026</t>
  </si>
  <si>
    <t>Anjali Verma</t>
  </si>
  <si>
    <t>BFL-PL-661230</t>
  </si>
  <si>
    <t>38000</t>
  </si>
  <si>
    <t>First-time default; cooperative; reminder via SMS</t>
  </si>
  <si>
    <t>CL-00118</t>
  </si>
  <si>
    <t>Kiran Desai</t>
  </si>
  <si>
    <t>BFL-HL-441509</t>
  </si>
  <si>
    <t>295000</t>
  </si>
  <si>
    <t>IVR blast triggered; field visit tentative</t>
  </si>
  <si>
    <t>CL-00119</t>
  </si>
  <si>
    <t>21 May 2026</t>
  </si>
  <si>
    <t>Mohammed Shaikh</t>
  </si>
  <si>
    <t>BFL-BL-229810</t>
  </si>
  <si>
    <t>175000</t>
  </si>
  <si>
    <t>75000</t>
  </si>
  <si>
    <t>Balance ₹1L by 10 Jun; business income irregular</t>
  </si>
  <si>
    <t>CL-00120</t>
  </si>
  <si>
    <t>Pooja Tiwari</t>
  </si>
  <si>
    <t>BFL-TW-330024</t>
  </si>
  <si>
    <t>14500</t>
  </si>
  <si>
    <t>New customer; cooperative; automated reminder set</t>
  </si>
  <si>
    <t>BFL Collections — Account Priority Matrix</t>
  </si>
  <si>
    <t>Source: LMS / Collections System | As of 31 May 2026 | For M365 Copilot Demo Use</t>
  </si>
  <si>
    <t>Bucket (DPD)</t>
  </si>
  <si>
    <t>Risk Score</t>
  </si>
  <si>
    <t>Priority Tier</t>
  </si>
  <si>
    <t>Last Contact</t>
  </si>
  <si>
    <t>Collector</t>
  </si>
  <si>
    <t>Field Visit?</t>
  </si>
  <si>
    <t>Recommended Action</t>
  </si>
  <si>
    <t>90+ DPD</t>
  </si>
  <si>
    <t>Critical</t>
  </si>
  <si>
    <t>22 May 26</t>
  </si>
  <si>
    <t>Rajesh Kumar</t>
  </si>
  <si>
    <t>Yes</t>
  </si>
  <si>
    <t>Legal notice + senior officer escalation</t>
  </si>
  <si>
    <t>20 May 26</t>
  </si>
  <si>
    <t>Sunita Rao</t>
  </si>
  <si>
    <t>Branch manager + dispute resolution</t>
  </si>
  <si>
    <t>23 May 26</t>
  </si>
  <si>
    <t>NPA provisioning + legal team</t>
  </si>
  <si>
    <t>61–90 DPD</t>
  </si>
  <si>
    <t>High</t>
  </si>
  <si>
    <t>Amit Tiwari</t>
  </si>
  <si>
    <t>Restructuring offer + field visit</t>
  </si>
  <si>
    <t>30 May 26</t>
  </si>
  <si>
    <t>No</t>
  </si>
  <si>
    <t>EMI dispute resolution + branch</t>
  </si>
  <si>
    <t>27 May 26</t>
  </si>
  <si>
    <t>Pooja Sharma</t>
  </si>
  <si>
    <t>Field officer + pledge verification</t>
  </si>
  <si>
    <t>28 May 26</t>
  </si>
  <si>
    <t>Restructuring check + PTP monitoring</t>
  </si>
  <si>
    <t>26 May 26</t>
  </si>
  <si>
    <t>Ravi Patil</t>
  </si>
  <si>
    <t>Field visit + IVR reminder</t>
  </si>
  <si>
    <t>2nd missed PTP — escalate to Sr. Collector</t>
  </si>
  <si>
    <t>31–60 DPD</t>
  </si>
  <si>
    <t>Medium</t>
  </si>
  <si>
    <t>25 May 26</t>
  </si>
  <si>
    <t>PTP confirmed — monitor and follow up</t>
  </si>
  <si>
    <t>21 May 26</t>
  </si>
  <si>
    <t>Partial PTP — track balance payment</t>
  </si>
  <si>
    <t>IVR + outbound call scheduled</t>
  </si>
  <si>
    <t>24 May 26</t>
  </si>
  <si>
    <t>PTP confirmed — pledge renewal reminder</t>
  </si>
  <si>
    <t>Callback in progress — follow up</t>
  </si>
  <si>
    <t>1–30 DPD</t>
  </si>
  <si>
    <t>Low</t>
  </si>
  <si>
    <t>SMS + automated reminder</t>
  </si>
  <si>
    <t>PTP confirmed — UPI link sent</t>
  </si>
  <si>
    <t>PTP confirmed — NEFT expected 5 Jun</t>
  </si>
  <si>
    <t>29 May 26</t>
  </si>
  <si>
    <t>PTP confirmed — WhatsApp reminder set</t>
  </si>
  <si>
    <t>Automated reminder — first-time default</t>
  </si>
  <si>
    <t>Field visit booked — 3rd no-response</t>
  </si>
  <si>
    <t>BFL Collections — Monthly Performance Dashboard</t>
  </si>
  <si>
    <t>Period: Oct FY2026-27 to May FY2026-27 | Bajaj Finance Limited | Collections &amp; Recovery</t>
  </si>
  <si>
    <t>Month</t>
  </si>
  <si>
    <t>Total Portfolio (₹ Cr)</t>
  </si>
  <si>
    <t>Amount Collected (₹ Cr)</t>
  </si>
  <si>
    <t>Collection Efficiency %</t>
  </si>
  <si>
    <t>PTP Count</t>
  </si>
  <si>
    <t>PTP Kept %</t>
  </si>
  <si>
    <t>Accounts Escalated</t>
  </si>
  <si>
    <t>Field Visits</t>
  </si>
  <si>
    <t>Write-off Risk (₹ Cr)</t>
  </si>
  <si>
    <t>GNPA %</t>
  </si>
  <si>
    <t>New Delinquencies</t>
  </si>
  <si>
    <t>Oct FY26-27</t>
  </si>
  <si>
    <t>Nov FY26-27</t>
  </si>
  <si>
    <t>Dec FY26-27</t>
  </si>
  <si>
    <t>Jan FY26-27</t>
  </si>
  <si>
    <t>Feb FY26-27</t>
  </si>
  <si>
    <t>Mar FY26-27</t>
  </si>
  <si>
    <t>Apr FY26-27</t>
  </si>
  <si>
    <t>May FY26-27</t>
  </si>
  <si>
    <t>FY26-27 Avg</t>
  </si>
  <si>
    <t>BFL Collections — Overdue Trend &amp; DPD Bucket Analysis</t>
  </si>
  <si>
    <t>Period: Oct FY2026-27 to May FY2026-27 | Bajaj Finance Limited | Overdue Portfolio Tracking</t>
  </si>
  <si>
    <t>1–30 DPD Count</t>
  </si>
  <si>
    <t>1–30 DPD (₹ Cr)</t>
  </si>
  <si>
    <t>31–60 DPD Count</t>
  </si>
  <si>
    <t>31–60 DPD (₹ Cr)</t>
  </si>
  <si>
    <t>61–90 DPD Count</t>
  </si>
  <si>
    <t>61–90 DPD (₹ Cr)</t>
  </si>
  <si>
    <t>90+ DPD Count</t>
  </si>
  <si>
    <t>90+ DPD (₹ Cr)</t>
  </si>
  <si>
    <t>Roll-forward Rate %</t>
  </si>
  <si>
    <t>Recovery Rate %</t>
  </si>
  <si>
    <t>BFL Collections — Recovery Strategy &amp; Action Tracker</t>
  </si>
  <si>
    <t>Period: May FY2026-27 | Bajaj Finance Limited | Collections Strategy &amp; Recovery Planning</t>
  </si>
  <si>
    <t>Segment</t>
  </si>
  <si>
    <t>DPD Range</t>
  </si>
  <si>
    <t>Account Count</t>
  </si>
  <si>
    <t>Portfolio O/S (₹ Cr)</t>
  </si>
  <si>
    <t>Recommended Strategy</t>
  </si>
  <si>
    <t>Channel</t>
  </si>
  <si>
    <t>Responsible Team</t>
  </si>
  <si>
    <t>Target Recovery %</t>
  </si>
  <si>
    <t>Actual Recovery %</t>
  </si>
  <si>
    <t>Status</t>
  </si>
  <si>
    <t>Next Review</t>
  </si>
  <si>
    <t>First-Time Defaulter</t>
  </si>
  <si>
    <t>Automated IVR + SMS + WhatsApp reminder</t>
  </si>
  <si>
    <t>Digital (IVR/SMS/WA)</t>
  </si>
  <si>
    <t>Collections Ops</t>
  </si>
  <si>
    <t>On Track</t>
  </si>
  <si>
    <t>15 Jun 26</t>
  </si>
  <si>
    <t>Early Delinquent</t>
  </si>
  <si>
    <t>Meta Prompt Copilot call script + PTP offer</t>
  </si>
  <si>
    <t>Outbound Voice + Chat</t>
  </si>
  <si>
    <t>Senior Collectors</t>
  </si>
  <si>
    <t>Monitoring</t>
  </si>
  <si>
    <t>10 Jun 26</t>
  </si>
  <si>
    <t>Mid-Delinquent</t>
  </si>
  <si>
    <t>Field visit + restructuring eligibility check</t>
  </si>
  <si>
    <t>Field + Branch Officer</t>
  </si>
  <si>
    <t>Field Team + Branch</t>
  </si>
  <si>
    <t>Attention</t>
  </si>
  <si>
    <t>7 Jun 26</t>
  </si>
  <si>
    <t>Severely Overdue</t>
  </si>
  <si>
    <t>91–180 DPD</t>
  </si>
  <si>
    <t>Legal notice + senior collections officer</t>
  </si>
  <si>
    <t>Legal + Field</t>
  </si>
  <si>
    <t>Legal &amp; Recovery</t>
  </si>
  <si>
    <t>At Risk</t>
  </si>
  <si>
    <t>5 Jun 26</t>
  </si>
  <si>
    <t>Chronic Defaulter</t>
  </si>
  <si>
    <t>180+ DPD</t>
  </si>
  <si>
    <t>NPA provisioning + one-time settlement offer</t>
  </si>
  <si>
    <t>Legal</t>
  </si>
  <si>
    <t>Legal Team</t>
  </si>
  <si>
    <t>1 Jun 26</t>
  </si>
  <si>
    <t>PTP Monitoring</t>
  </si>
  <si>
    <t>All DPDs</t>
  </si>
  <si>
    <t>Daily PTP fulfillment tracking + reminder escalation</t>
  </si>
  <si>
    <t>Digital + Voice</t>
  </si>
  <si>
    <t>PTP Desk</t>
  </si>
  <si>
    <t>Daily</t>
  </si>
  <si>
    <t>Immediate escalation to senior collector</t>
  </si>
  <si>
    <t>Voice + Field</t>
  </si>
  <si>
    <t>Sr. Collector</t>
  </si>
  <si>
    <t>6 Jun 26</t>
  </si>
  <si>
    <t>Gold Loan Special</t>
  </si>
  <si>
    <t>31–90 DPD</t>
  </si>
  <si>
    <t>Pledge verification + field officer visit</t>
  </si>
  <si>
    <t>Field</t>
  </si>
  <si>
    <t>Field Team</t>
  </si>
  <si>
    <t>Business Loan Restructuring</t>
  </si>
  <si>
    <t>Cash-flow assessment + EMI restructuring offer</t>
  </si>
  <si>
    <t>Branch + RM</t>
  </si>
  <si>
    <t>Relationship Mgr</t>
  </si>
  <si>
    <t>12 Jun 26</t>
  </si>
  <si>
    <t>Home Loan Dispute</t>
  </si>
  <si>
    <t>Branch-level dispute resolution + legal review</t>
  </si>
  <si>
    <t>Branch + Legal</t>
  </si>
  <si>
    <t>8 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</si>
</sst>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&quot;%&quot;"/>
    <numFmt numFmtId="166" formatCode="0&quot;%&quot;"/>
  </numFmts>
  <fonts count="1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64748B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5803D"/>
      <name val="Arial"/>
    </font>
    <font>
      <b/>
      <sz val="10"/>
      <color rgb="FF000000"/>
      <name val="Arial"/>
    </font>
    <font>
      <b/>
      <sz val="10"/>
      <color rgb="FFB91C1C"/>
      <name val="Arial"/>
    </font>
    <font>
      <b/>
      <sz val="10"/>
      <color rgb="FF64748B"/>
      <name val="Arial"/>
    </font>
    <font>
      <b/>
      <sz val="10"/>
      <color rgb="FFB45309"/>
      <name val="Arial"/>
    </font>
    <font>
      <b/>
      <sz val="10"/>
      <color rgb="FF2563EB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6" fontId="4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6" fontId="4" fillId="5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2" width="12" customWidth="1"/>
    <col min="3" max="3" width="20" customWidth="1"/>
    <col min="4" max="4" width="15" customWidth="1"/>
    <col min="5" max="5" width="16" customWidth="1"/>
    <col min="6" max="6" width="7" customWidth="1"/>
    <col min="7" max="7" width="18" customWidth="1"/>
    <col min="8" max="8" width="16" customWidth="1"/>
    <col min="9" max="9" width="13" customWidth="1"/>
    <col min="10" max="10" width="18" customWidth="1"/>
    <col min="11" max="11" width="30" customWidth="1"/>
  </cols>
  <sheetData>
    <row r="1" spans="1:11" ht="27.95" customHeight="1">
      <c r="A1" s="34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5.95" customHeight="1">
      <c r="A2" s="33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5.95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3">
        <v>42</v>
      </c>
      <c r="G5" s="4" t="s">
        <v>18</v>
      </c>
      <c r="H5" s="5" t="s">
        <v>19</v>
      </c>
      <c r="I5" s="2" t="s">
        <v>20</v>
      </c>
      <c r="J5" s="4" t="s">
        <v>18</v>
      </c>
      <c r="K5" s="2" t="s">
        <v>21</v>
      </c>
    </row>
    <row r="6" spans="1:11" ht="15.95" customHeight="1">
      <c r="A6" s="6" t="s">
        <v>22</v>
      </c>
      <c r="B6" s="6" t="s">
        <v>14</v>
      </c>
      <c r="C6" s="6" t="s">
        <v>23</v>
      </c>
      <c r="D6" s="6" t="s">
        <v>24</v>
      </c>
      <c r="E6" s="6" t="s">
        <v>25</v>
      </c>
      <c r="F6" s="7">
        <v>88</v>
      </c>
      <c r="G6" s="8" t="s">
        <v>26</v>
      </c>
      <c r="H6" s="9" t="s">
        <v>27</v>
      </c>
      <c r="I6" s="6" t="s">
        <v>28</v>
      </c>
      <c r="J6" s="8" t="s">
        <v>28</v>
      </c>
      <c r="K6" s="6" t="s">
        <v>29</v>
      </c>
    </row>
    <row r="7" spans="1:11" ht="15.9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>
        <v>35</v>
      </c>
      <c r="G7" s="4" t="s">
        <v>35</v>
      </c>
      <c r="H7" s="5" t="s">
        <v>19</v>
      </c>
      <c r="I7" s="2" t="s">
        <v>36</v>
      </c>
      <c r="J7" s="4" t="s">
        <v>35</v>
      </c>
      <c r="K7" s="2" t="s">
        <v>37</v>
      </c>
    </row>
    <row r="8" spans="1:11" ht="15.95" customHeight="1">
      <c r="A8" s="6" t="s">
        <v>38</v>
      </c>
      <c r="B8" s="6" t="s">
        <v>31</v>
      </c>
      <c r="C8" s="6" t="s">
        <v>39</v>
      </c>
      <c r="D8" s="6" t="s">
        <v>40</v>
      </c>
      <c r="E8" s="6" t="s">
        <v>41</v>
      </c>
      <c r="F8" s="7">
        <v>61</v>
      </c>
      <c r="G8" s="8" t="s">
        <v>42</v>
      </c>
      <c r="H8" s="10" t="s">
        <v>43</v>
      </c>
      <c r="I8" s="6" t="s">
        <v>28</v>
      </c>
      <c r="J8" s="8" t="s">
        <v>28</v>
      </c>
      <c r="K8" s="6" t="s">
        <v>44</v>
      </c>
    </row>
    <row r="9" spans="1:11" ht="15.95" customHeight="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7">
        <v>74</v>
      </c>
      <c r="G9" s="4" t="s">
        <v>50</v>
      </c>
      <c r="H9" s="11" t="s">
        <v>51</v>
      </c>
      <c r="I9" s="2" t="s">
        <v>52</v>
      </c>
      <c r="J9" s="4" t="s">
        <v>53</v>
      </c>
      <c r="K9" s="2" t="s">
        <v>54</v>
      </c>
    </row>
    <row r="10" spans="1:11" ht="15.95" customHeight="1">
      <c r="A10" s="6" t="s">
        <v>55</v>
      </c>
      <c r="B10" s="6" t="s">
        <v>46</v>
      </c>
      <c r="C10" s="6" t="s">
        <v>56</v>
      </c>
      <c r="D10" s="6" t="s">
        <v>57</v>
      </c>
      <c r="E10" s="6" t="s">
        <v>25</v>
      </c>
      <c r="F10" s="12">
        <v>94</v>
      </c>
      <c r="G10" s="8" t="s">
        <v>58</v>
      </c>
      <c r="H10" s="9" t="s">
        <v>59</v>
      </c>
      <c r="I10" s="6" t="s">
        <v>28</v>
      </c>
      <c r="J10" s="8" t="s">
        <v>28</v>
      </c>
      <c r="K10" s="6" t="s">
        <v>60</v>
      </c>
    </row>
    <row r="11" spans="1:11" ht="15.95" customHeight="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17</v>
      </c>
      <c r="F11" s="12">
        <v>102</v>
      </c>
      <c r="G11" s="4" t="s">
        <v>65</v>
      </c>
      <c r="H11" s="9" t="s">
        <v>27</v>
      </c>
      <c r="I11" s="2" t="s">
        <v>28</v>
      </c>
      <c r="J11" s="4" t="s">
        <v>28</v>
      </c>
      <c r="K11" s="2" t="s">
        <v>66</v>
      </c>
    </row>
    <row r="12" spans="1:11" ht="15.95" customHeight="1">
      <c r="A12" s="6" t="s">
        <v>67</v>
      </c>
      <c r="B12" s="6" t="s">
        <v>62</v>
      </c>
      <c r="C12" s="6" t="s">
        <v>68</v>
      </c>
      <c r="D12" s="6" t="s">
        <v>69</v>
      </c>
      <c r="E12" s="6" t="s">
        <v>34</v>
      </c>
      <c r="F12" s="7">
        <v>76</v>
      </c>
      <c r="G12" s="8" t="s">
        <v>70</v>
      </c>
      <c r="H12" s="5" t="s">
        <v>19</v>
      </c>
      <c r="I12" s="6" t="s">
        <v>71</v>
      </c>
      <c r="J12" s="8" t="s">
        <v>70</v>
      </c>
      <c r="K12" s="6" t="s">
        <v>72</v>
      </c>
    </row>
    <row r="13" spans="1:11" ht="15.95" customHeight="1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41</v>
      </c>
      <c r="F13" s="7">
        <v>72</v>
      </c>
      <c r="G13" s="4" t="s">
        <v>77</v>
      </c>
      <c r="H13" s="5" t="s">
        <v>19</v>
      </c>
      <c r="I13" s="2" t="s">
        <v>78</v>
      </c>
      <c r="J13" s="4" t="s">
        <v>77</v>
      </c>
      <c r="K13" s="2" t="s">
        <v>79</v>
      </c>
    </row>
    <row r="14" spans="1:11" ht="15.95" customHeight="1">
      <c r="A14" s="6" t="s">
        <v>80</v>
      </c>
      <c r="B14" s="6" t="s">
        <v>74</v>
      </c>
      <c r="C14" s="6" t="s">
        <v>81</v>
      </c>
      <c r="D14" s="6" t="s">
        <v>82</v>
      </c>
      <c r="E14" s="6" t="s">
        <v>17</v>
      </c>
      <c r="F14" s="7">
        <v>65</v>
      </c>
      <c r="G14" s="8" t="s">
        <v>83</v>
      </c>
      <c r="H14" s="9" t="s">
        <v>84</v>
      </c>
      <c r="I14" s="6" t="s">
        <v>28</v>
      </c>
      <c r="J14" s="8" t="s">
        <v>28</v>
      </c>
      <c r="K14" s="6" t="s">
        <v>85</v>
      </c>
    </row>
    <row r="15" spans="1:11" ht="15.95" customHeight="1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49</v>
      </c>
      <c r="F15" s="3">
        <v>55</v>
      </c>
      <c r="G15" s="4" t="s">
        <v>90</v>
      </c>
      <c r="H15" s="5" t="s">
        <v>19</v>
      </c>
      <c r="I15" s="2" t="s">
        <v>36</v>
      </c>
      <c r="J15" s="4" t="s">
        <v>90</v>
      </c>
      <c r="K15" s="2" t="s">
        <v>91</v>
      </c>
    </row>
    <row r="16" spans="1:11" ht="15.95" customHeight="1">
      <c r="A16" s="6" t="s">
        <v>92</v>
      </c>
      <c r="B16" s="6" t="s">
        <v>87</v>
      </c>
      <c r="C16" s="6" t="s">
        <v>93</v>
      </c>
      <c r="D16" s="6" t="s">
        <v>94</v>
      </c>
      <c r="E16" s="6" t="s">
        <v>25</v>
      </c>
      <c r="F16" s="13">
        <v>48</v>
      </c>
      <c r="G16" s="8" t="s">
        <v>95</v>
      </c>
      <c r="H16" s="11" t="s">
        <v>96</v>
      </c>
      <c r="I16" s="6" t="s">
        <v>28</v>
      </c>
      <c r="J16" s="8" t="s">
        <v>28</v>
      </c>
      <c r="K16" s="6" t="s">
        <v>97</v>
      </c>
    </row>
    <row r="17" spans="1:11" ht="15.95" customHeight="1">
      <c r="A17" s="2" t="s">
        <v>98</v>
      </c>
      <c r="B17" s="2" t="s">
        <v>99</v>
      </c>
      <c r="C17" s="2" t="s">
        <v>100</v>
      </c>
      <c r="D17" s="2" t="s">
        <v>101</v>
      </c>
      <c r="E17" s="2" t="s">
        <v>34</v>
      </c>
      <c r="F17" s="3">
        <v>42</v>
      </c>
      <c r="G17" s="4" t="s">
        <v>102</v>
      </c>
      <c r="H17" s="5" t="s">
        <v>19</v>
      </c>
      <c r="I17" s="2" t="s">
        <v>14</v>
      </c>
      <c r="J17" s="4" t="s">
        <v>102</v>
      </c>
      <c r="K17" s="2" t="s">
        <v>103</v>
      </c>
    </row>
    <row r="18" spans="1:11" ht="15.95" customHeight="1">
      <c r="A18" s="6" t="s">
        <v>104</v>
      </c>
      <c r="B18" s="6" t="s">
        <v>99</v>
      </c>
      <c r="C18" s="6" t="s">
        <v>105</v>
      </c>
      <c r="D18" s="6" t="s">
        <v>106</v>
      </c>
      <c r="E18" s="6" t="s">
        <v>41</v>
      </c>
      <c r="F18" s="13">
        <v>38</v>
      </c>
      <c r="G18" s="8" t="s">
        <v>107</v>
      </c>
      <c r="H18" s="5" t="s">
        <v>19</v>
      </c>
      <c r="I18" s="6" t="s">
        <v>46</v>
      </c>
      <c r="J18" s="8" t="s">
        <v>107</v>
      </c>
      <c r="K18" s="6" t="s">
        <v>108</v>
      </c>
    </row>
    <row r="19" spans="1:11" ht="15.95" customHeight="1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17</v>
      </c>
      <c r="F19" s="12">
        <v>91</v>
      </c>
      <c r="G19" s="4" t="s">
        <v>113</v>
      </c>
      <c r="H19" s="9" t="s">
        <v>27</v>
      </c>
      <c r="I19" s="2" t="s">
        <v>28</v>
      </c>
      <c r="J19" s="4" t="s">
        <v>28</v>
      </c>
      <c r="K19" s="2" t="s">
        <v>114</v>
      </c>
    </row>
    <row r="20" spans="1:11" ht="15.95" customHeight="1">
      <c r="A20" s="6" t="s">
        <v>115</v>
      </c>
      <c r="B20" s="6" t="s">
        <v>110</v>
      </c>
      <c r="C20" s="6" t="s">
        <v>116</v>
      </c>
      <c r="D20" s="6" t="s">
        <v>117</v>
      </c>
      <c r="E20" s="6" t="s">
        <v>49</v>
      </c>
      <c r="F20" s="7">
        <v>85</v>
      </c>
      <c r="G20" s="8" t="s">
        <v>95</v>
      </c>
      <c r="H20" s="5" t="s">
        <v>19</v>
      </c>
      <c r="I20" s="6" t="s">
        <v>118</v>
      </c>
      <c r="J20" s="8" t="s">
        <v>119</v>
      </c>
      <c r="K20" s="6" t="s">
        <v>120</v>
      </c>
    </row>
    <row r="21" spans="1:11" ht="15.95" customHeight="1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17</v>
      </c>
      <c r="F21" s="3">
        <v>28</v>
      </c>
      <c r="G21" s="4" t="s">
        <v>125</v>
      </c>
      <c r="H21" s="5" t="s">
        <v>19</v>
      </c>
      <c r="I21" s="2" t="s">
        <v>62</v>
      </c>
      <c r="J21" s="4" t="s">
        <v>125</v>
      </c>
      <c r="K21" s="2" t="s">
        <v>126</v>
      </c>
    </row>
    <row r="22" spans="1:11" ht="15.95" customHeight="1">
      <c r="A22" s="6" t="s">
        <v>127</v>
      </c>
      <c r="B22" s="6" t="s">
        <v>122</v>
      </c>
      <c r="C22" s="6" t="s">
        <v>128</v>
      </c>
      <c r="D22" s="6" t="s">
        <v>129</v>
      </c>
      <c r="E22" s="6" t="s">
        <v>25</v>
      </c>
      <c r="F22" s="13">
        <v>54</v>
      </c>
      <c r="G22" s="8" t="s">
        <v>130</v>
      </c>
      <c r="H22" s="10" t="s">
        <v>43</v>
      </c>
      <c r="I22" s="6" t="s">
        <v>28</v>
      </c>
      <c r="J22" s="8" t="s">
        <v>28</v>
      </c>
      <c r="K22" s="6" t="s">
        <v>131</v>
      </c>
    </row>
    <row r="23" spans="1:11" ht="15.95" customHeight="1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49</v>
      </c>
      <c r="F23" s="7">
        <v>67</v>
      </c>
      <c r="G23" s="4" t="s">
        <v>136</v>
      </c>
      <c r="H23" s="11" t="s">
        <v>51</v>
      </c>
      <c r="I23" s="2" t="s">
        <v>46</v>
      </c>
      <c r="J23" s="4" t="s">
        <v>137</v>
      </c>
      <c r="K23" s="2" t="s">
        <v>138</v>
      </c>
    </row>
    <row r="24" spans="1:11" ht="15.95" customHeight="1">
      <c r="A24" s="6" t="s">
        <v>139</v>
      </c>
      <c r="B24" s="6" t="s">
        <v>133</v>
      </c>
      <c r="C24" s="6" t="s">
        <v>140</v>
      </c>
      <c r="D24" s="6" t="s">
        <v>141</v>
      </c>
      <c r="E24" s="6" t="s">
        <v>41</v>
      </c>
      <c r="F24" s="13">
        <v>19</v>
      </c>
      <c r="G24" s="8" t="s">
        <v>142</v>
      </c>
      <c r="H24" s="5" t="s">
        <v>19</v>
      </c>
      <c r="I24" s="6" t="s">
        <v>87</v>
      </c>
      <c r="J24" s="8" t="s">
        <v>142</v>
      </c>
      <c r="K24" s="6" t="s">
        <v>143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20" customWidth="1"/>
    <col min="3" max="3" width="16" customWidth="1"/>
    <col min="4" max="4" width="14" customWidth="1"/>
    <col min="5" max="5" width="7" customWidth="1"/>
    <col min="6" max="6" width="18" customWidth="1"/>
    <col min="7" max="7" width="10" customWidth="1"/>
    <col min="8" max="8" width="12" customWidth="1"/>
    <col min="9" max="9" width="13" customWidth="1"/>
    <col min="10" max="10" width="18" customWidth="1"/>
    <col min="11" max="11" width="12" customWidth="1"/>
    <col min="12" max="12" width="30" customWidth="1"/>
  </cols>
  <sheetData>
    <row r="1" spans="1:12" ht="27.95" customHeight="1">
      <c r="A1" s="34" t="s">
        <v>144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5.95" customHeight="1">
      <c r="A2" s="33" t="s">
        <v>145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>
      <c r="A4" s="1" t="s">
        <v>5</v>
      </c>
      <c r="B4" s="1" t="s">
        <v>4</v>
      </c>
      <c r="C4" s="1" t="s">
        <v>6</v>
      </c>
      <c r="D4" s="1" t="s">
        <v>146</v>
      </c>
      <c r="E4" s="1" t="s">
        <v>7</v>
      </c>
      <c r="F4" s="1" t="s">
        <v>8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</row>
    <row r="5" spans="1:12" ht="15.95" customHeight="1">
      <c r="A5" s="2" t="s">
        <v>64</v>
      </c>
      <c r="B5" s="2" t="s">
        <v>63</v>
      </c>
      <c r="C5" s="2" t="s">
        <v>17</v>
      </c>
      <c r="D5" s="2" t="s">
        <v>153</v>
      </c>
      <c r="E5" s="12">
        <v>102</v>
      </c>
      <c r="F5" s="14">
        <v>185000</v>
      </c>
      <c r="G5" s="15">
        <v>9420</v>
      </c>
      <c r="H5" s="9" t="s">
        <v>154</v>
      </c>
      <c r="I5" s="2" t="s">
        <v>155</v>
      </c>
      <c r="J5" s="2" t="s">
        <v>156</v>
      </c>
      <c r="K5" s="2" t="s">
        <v>157</v>
      </c>
      <c r="L5" s="2" t="s">
        <v>158</v>
      </c>
    </row>
    <row r="6" spans="1:12" ht="15.95" customHeight="1">
      <c r="A6" s="6" t="s">
        <v>57</v>
      </c>
      <c r="B6" s="6" t="s">
        <v>56</v>
      </c>
      <c r="C6" s="6" t="s">
        <v>25</v>
      </c>
      <c r="D6" s="6" t="s">
        <v>153</v>
      </c>
      <c r="E6" s="12">
        <v>94</v>
      </c>
      <c r="F6" s="16">
        <v>420000</v>
      </c>
      <c r="G6" s="17">
        <v>9870</v>
      </c>
      <c r="H6" s="9" t="s">
        <v>154</v>
      </c>
      <c r="I6" s="6" t="s">
        <v>159</v>
      </c>
      <c r="J6" s="6" t="s">
        <v>160</v>
      </c>
      <c r="K6" s="6" t="s">
        <v>157</v>
      </c>
      <c r="L6" s="6" t="s">
        <v>161</v>
      </c>
    </row>
    <row r="7" spans="1:12" ht="15.95" customHeight="1">
      <c r="A7" s="2" t="s">
        <v>112</v>
      </c>
      <c r="B7" s="2" t="s">
        <v>111</v>
      </c>
      <c r="C7" s="2" t="s">
        <v>17</v>
      </c>
      <c r="D7" s="2" t="s">
        <v>153</v>
      </c>
      <c r="E7" s="12">
        <v>91</v>
      </c>
      <c r="F7" s="14">
        <v>240000</v>
      </c>
      <c r="G7" s="15">
        <v>8736</v>
      </c>
      <c r="H7" s="9" t="s">
        <v>154</v>
      </c>
      <c r="I7" s="2" t="s">
        <v>162</v>
      </c>
      <c r="J7" s="2" t="s">
        <v>156</v>
      </c>
      <c r="K7" s="2" t="s">
        <v>157</v>
      </c>
      <c r="L7" s="2" t="s">
        <v>163</v>
      </c>
    </row>
    <row r="8" spans="1:12" ht="15.95" customHeight="1">
      <c r="A8" s="6" t="s">
        <v>117</v>
      </c>
      <c r="B8" s="6" t="s">
        <v>116</v>
      </c>
      <c r="C8" s="6" t="s">
        <v>49</v>
      </c>
      <c r="D8" s="6" t="s">
        <v>164</v>
      </c>
      <c r="E8" s="7">
        <v>85</v>
      </c>
      <c r="F8" s="16">
        <v>510000</v>
      </c>
      <c r="G8" s="17">
        <v>8670</v>
      </c>
      <c r="H8" s="11" t="s">
        <v>165</v>
      </c>
      <c r="I8" s="6" t="s">
        <v>162</v>
      </c>
      <c r="J8" s="6" t="s">
        <v>166</v>
      </c>
      <c r="K8" s="6" t="s">
        <v>157</v>
      </c>
      <c r="L8" s="6" t="s">
        <v>167</v>
      </c>
    </row>
    <row r="9" spans="1:12" ht="15.95" customHeight="1">
      <c r="A9" s="2" t="s">
        <v>24</v>
      </c>
      <c r="B9" s="2" t="s">
        <v>23</v>
      </c>
      <c r="C9" s="2" t="s">
        <v>25</v>
      </c>
      <c r="D9" s="2" t="s">
        <v>164</v>
      </c>
      <c r="E9" s="7">
        <v>88</v>
      </c>
      <c r="F9" s="14">
        <v>184000</v>
      </c>
      <c r="G9" s="15">
        <v>8096</v>
      </c>
      <c r="H9" s="11" t="s">
        <v>165</v>
      </c>
      <c r="I9" s="2" t="s">
        <v>168</v>
      </c>
      <c r="J9" s="2" t="s">
        <v>160</v>
      </c>
      <c r="K9" s="2" t="s">
        <v>169</v>
      </c>
      <c r="L9" s="2" t="s">
        <v>170</v>
      </c>
    </row>
    <row r="10" spans="1:12" ht="15.95" customHeight="1">
      <c r="A10" s="6" t="s">
        <v>69</v>
      </c>
      <c r="B10" s="6" t="s">
        <v>68</v>
      </c>
      <c r="C10" s="6" t="s">
        <v>34</v>
      </c>
      <c r="D10" s="6" t="s">
        <v>164</v>
      </c>
      <c r="E10" s="7">
        <v>76</v>
      </c>
      <c r="F10" s="16">
        <v>58000</v>
      </c>
      <c r="G10" s="17">
        <v>4408</v>
      </c>
      <c r="H10" s="11" t="s">
        <v>165</v>
      </c>
      <c r="I10" s="6" t="s">
        <v>171</v>
      </c>
      <c r="J10" s="6" t="s">
        <v>172</v>
      </c>
      <c r="K10" s="6" t="s">
        <v>157</v>
      </c>
      <c r="L10" s="6" t="s">
        <v>173</v>
      </c>
    </row>
    <row r="11" spans="1:12" ht="15.95" customHeight="1">
      <c r="A11" s="2" t="s">
        <v>48</v>
      </c>
      <c r="B11" s="2" t="s">
        <v>47</v>
      </c>
      <c r="C11" s="2" t="s">
        <v>49</v>
      </c>
      <c r="D11" s="2" t="s">
        <v>164</v>
      </c>
      <c r="E11" s="7">
        <v>74</v>
      </c>
      <c r="F11" s="14">
        <v>95000</v>
      </c>
      <c r="G11" s="15">
        <v>7030</v>
      </c>
      <c r="H11" s="11" t="s">
        <v>165</v>
      </c>
      <c r="I11" s="2" t="s">
        <v>174</v>
      </c>
      <c r="J11" s="2" t="s">
        <v>166</v>
      </c>
      <c r="K11" s="2" t="s">
        <v>169</v>
      </c>
      <c r="L11" s="2" t="s">
        <v>175</v>
      </c>
    </row>
    <row r="12" spans="1:12" ht="15.95" customHeight="1">
      <c r="A12" s="6" t="s">
        <v>76</v>
      </c>
      <c r="B12" s="6" t="s">
        <v>75</v>
      </c>
      <c r="C12" s="6" t="s">
        <v>41</v>
      </c>
      <c r="D12" s="6" t="s">
        <v>164</v>
      </c>
      <c r="E12" s="7">
        <v>72</v>
      </c>
      <c r="F12" s="16">
        <v>32000</v>
      </c>
      <c r="G12" s="17">
        <v>2304</v>
      </c>
      <c r="H12" s="11" t="s">
        <v>165</v>
      </c>
      <c r="I12" s="6" t="s">
        <v>176</v>
      </c>
      <c r="J12" s="6" t="s">
        <v>177</v>
      </c>
      <c r="K12" s="6" t="s">
        <v>169</v>
      </c>
      <c r="L12" s="6" t="s">
        <v>178</v>
      </c>
    </row>
    <row r="13" spans="1:12" ht="15.95" customHeight="1">
      <c r="A13" s="2" t="s">
        <v>82</v>
      </c>
      <c r="B13" s="2" t="s">
        <v>81</v>
      </c>
      <c r="C13" s="2" t="s">
        <v>17</v>
      </c>
      <c r="D13" s="2" t="s">
        <v>164</v>
      </c>
      <c r="E13" s="7">
        <v>65</v>
      </c>
      <c r="F13" s="14">
        <v>120000</v>
      </c>
      <c r="G13" s="15">
        <v>7800</v>
      </c>
      <c r="H13" s="11" t="s">
        <v>165</v>
      </c>
      <c r="I13" s="2" t="s">
        <v>176</v>
      </c>
      <c r="J13" s="2" t="s">
        <v>156</v>
      </c>
      <c r="K13" s="2" t="s">
        <v>169</v>
      </c>
      <c r="L13" s="2" t="s">
        <v>179</v>
      </c>
    </row>
    <row r="14" spans="1:12" ht="15.95" customHeight="1">
      <c r="A14" s="6" t="s">
        <v>89</v>
      </c>
      <c r="B14" s="6" t="s">
        <v>88</v>
      </c>
      <c r="C14" s="6" t="s">
        <v>49</v>
      </c>
      <c r="D14" s="6" t="s">
        <v>180</v>
      </c>
      <c r="E14" s="13">
        <v>55</v>
      </c>
      <c r="F14" s="16">
        <v>390000</v>
      </c>
      <c r="G14" s="17">
        <v>6450</v>
      </c>
      <c r="H14" s="18" t="s">
        <v>181</v>
      </c>
      <c r="I14" s="6" t="s">
        <v>182</v>
      </c>
      <c r="J14" s="6" t="s">
        <v>166</v>
      </c>
      <c r="K14" s="6" t="s">
        <v>169</v>
      </c>
      <c r="L14" s="6" t="s">
        <v>183</v>
      </c>
    </row>
    <row r="15" spans="1:12" ht="15.95" customHeight="1">
      <c r="A15" s="2" t="s">
        <v>135</v>
      </c>
      <c r="B15" s="2" t="s">
        <v>134</v>
      </c>
      <c r="C15" s="2" t="s">
        <v>49</v>
      </c>
      <c r="D15" s="2" t="s">
        <v>180</v>
      </c>
      <c r="E15" s="7">
        <v>67</v>
      </c>
      <c r="F15" s="14">
        <v>175000</v>
      </c>
      <c r="G15" s="15">
        <v>4025</v>
      </c>
      <c r="H15" s="18" t="s">
        <v>181</v>
      </c>
      <c r="I15" s="2" t="s">
        <v>184</v>
      </c>
      <c r="J15" s="2" t="s">
        <v>166</v>
      </c>
      <c r="K15" s="2" t="s">
        <v>169</v>
      </c>
      <c r="L15" s="2" t="s">
        <v>185</v>
      </c>
    </row>
    <row r="16" spans="1:12" ht="15.95" customHeight="1">
      <c r="A16" s="6" t="s">
        <v>129</v>
      </c>
      <c r="B16" s="6" t="s">
        <v>128</v>
      </c>
      <c r="C16" s="6" t="s">
        <v>25</v>
      </c>
      <c r="D16" s="6" t="s">
        <v>180</v>
      </c>
      <c r="E16" s="13">
        <v>54</v>
      </c>
      <c r="F16" s="16">
        <v>295000</v>
      </c>
      <c r="G16" s="17">
        <v>4720</v>
      </c>
      <c r="H16" s="18" t="s">
        <v>181</v>
      </c>
      <c r="I16" s="6" t="s">
        <v>155</v>
      </c>
      <c r="J16" s="6" t="s">
        <v>160</v>
      </c>
      <c r="K16" s="6" t="s">
        <v>169</v>
      </c>
      <c r="L16" s="6" t="s">
        <v>186</v>
      </c>
    </row>
    <row r="17" spans="1:12" ht="15.95" customHeight="1">
      <c r="A17" s="2" t="s">
        <v>101</v>
      </c>
      <c r="B17" s="2" t="s">
        <v>100</v>
      </c>
      <c r="C17" s="2" t="s">
        <v>34</v>
      </c>
      <c r="D17" s="2" t="s">
        <v>180</v>
      </c>
      <c r="E17" s="3">
        <v>42</v>
      </c>
      <c r="F17" s="14">
        <v>74000</v>
      </c>
      <c r="G17" s="15">
        <v>2072</v>
      </c>
      <c r="H17" s="18" t="s">
        <v>181</v>
      </c>
      <c r="I17" s="2" t="s">
        <v>187</v>
      </c>
      <c r="J17" s="2" t="s">
        <v>172</v>
      </c>
      <c r="K17" s="2" t="s">
        <v>169</v>
      </c>
      <c r="L17" s="2" t="s">
        <v>188</v>
      </c>
    </row>
    <row r="18" spans="1:12" ht="15.95" customHeight="1">
      <c r="A18" s="6" t="s">
        <v>94</v>
      </c>
      <c r="B18" s="6" t="s">
        <v>93</v>
      </c>
      <c r="C18" s="6" t="s">
        <v>25</v>
      </c>
      <c r="D18" s="6" t="s">
        <v>180</v>
      </c>
      <c r="E18" s="13">
        <v>48</v>
      </c>
      <c r="F18" s="16">
        <v>510000</v>
      </c>
      <c r="G18" s="17">
        <v>3672</v>
      </c>
      <c r="H18" s="18" t="s">
        <v>181</v>
      </c>
      <c r="I18" s="6" t="s">
        <v>182</v>
      </c>
      <c r="J18" s="6" t="s">
        <v>160</v>
      </c>
      <c r="K18" s="6" t="s">
        <v>169</v>
      </c>
      <c r="L18" s="6" t="s">
        <v>189</v>
      </c>
    </row>
    <row r="19" spans="1:12" ht="15.95" customHeight="1">
      <c r="A19" s="2" t="s">
        <v>124</v>
      </c>
      <c r="B19" s="2" t="s">
        <v>123</v>
      </c>
      <c r="C19" s="2" t="s">
        <v>17</v>
      </c>
      <c r="D19" s="2" t="s">
        <v>190</v>
      </c>
      <c r="E19" s="3">
        <v>28</v>
      </c>
      <c r="F19" s="14">
        <v>38000</v>
      </c>
      <c r="G19" s="15">
        <v>836</v>
      </c>
      <c r="H19" s="5" t="s">
        <v>191</v>
      </c>
      <c r="I19" s="2" t="s">
        <v>155</v>
      </c>
      <c r="J19" s="2" t="s">
        <v>177</v>
      </c>
      <c r="K19" s="2" t="s">
        <v>169</v>
      </c>
      <c r="L19" s="2" t="s">
        <v>192</v>
      </c>
    </row>
    <row r="20" spans="1:12" ht="15.95" customHeight="1">
      <c r="A20" s="6" t="s">
        <v>106</v>
      </c>
      <c r="B20" s="6" t="s">
        <v>105</v>
      </c>
      <c r="C20" s="6" t="s">
        <v>41</v>
      </c>
      <c r="D20" s="6" t="s">
        <v>190</v>
      </c>
      <c r="E20" s="13">
        <v>38</v>
      </c>
      <c r="F20" s="16">
        <v>22000</v>
      </c>
      <c r="G20" s="17">
        <v>532</v>
      </c>
      <c r="H20" s="5" t="s">
        <v>191</v>
      </c>
      <c r="I20" s="6" t="s">
        <v>187</v>
      </c>
      <c r="J20" s="6" t="s">
        <v>177</v>
      </c>
      <c r="K20" s="6" t="s">
        <v>169</v>
      </c>
      <c r="L20" s="6" t="s">
        <v>193</v>
      </c>
    </row>
    <row r="21" spans="1:12" ht="15.95" customHeight="1">
      <c r="A21" s="2" t="s">
        <v>16</v>
      </c>
      <c r="B21" s="2" t="s">
        <v>15</v>
      </c>
      <c r="C21" s="2" t="s">
        <v>17</v>
      </c>
      <c r="D21" s="2" t="s">
        <v>190</v>
      </c>
      <c r="E21" s="3">
        <v>42</v>
      </c>
      <c r="F21" s="14">
        <v>42500</v>
      </c>
      <c r="G21" s="15">
        <v>1155</v>
      </c>
      <c r="H21" s="5" t="s">
        <v>191</v>
      </c>
      <c r="I21" s="2" t="s">
        <v>168</v>
      </c>
      <c r="J21" s="2" t="s">
        <v>156</v>
      </c>
      <c r="K21" s="2" t="s">
        <v>169</v>
      </c>
      <c r="L21" s="2" t="s">
        <v>194</v>
      </c>
    </row>
    <row r="22" spans="1:12" ht="15.95" customHeight="1">
      <c r="A22" s="6" t="s">
        <v>33</v>
      </c>
      <c r="B22" s="6" t="s">
        <v>32</v>
      </c>
      <c r="C22" s="6" t="s">
        <v>34</v>
      </c>
      <c r="D22" s="6" t="s">
        <v>190</v>
      </c>
      <c r="E22" s="13">
        <v>35</v>
      </c>
      <c r="F22" s="16">
        <v>28000</v>
      </c>
      <c r="G22" s="17">
        <v>616</v>
      </c>
      <c r="H22" s="5" t="s">
        <v>191</v>
      </c>
      <c r="I22" s="6" t="s">
        <v>195</v>
      </c>
      <c r="J22" s="6" t="s">
        <v>172</v>
      </c>
      <c r="K22" s="6" t="s">
        <v>169</v>
      </c>
      <c r="L22" s="6" t="s">
        <v>196</v>
      </c>
    </row>
    <row r="23" spans="1:12" ht="15.95" customHeight="1">
      <c r="A23" s="2" t="s">
        <v>141</v>
      </c>
      <c r="B23" s="2" t="s">
        <v>140</v>
      </c>
      <c r="C23" s="2" t="s">
        <v>41</v>
      </c>
      <c r="D23" s="2" t="s">
        <v>190</v>
      </c>
      <c r="E23" s="3">
        <v>19</v>
      </c>
      <c r="F23" s="14">
        <v>14500</v>
      </c>
      <c r="G23" s="15">
        <v>181</v>
      </c>
      <c r="H23" s="5" t="s">
        <v>191</v>
      </c>
      <c r="I23" s="2" t="s">
        <v>184</v>
      </c>
      <c r="J23" s="2" t="s">
        <v>177</v>
      </c>
      <c r="K23" s="2" t="s">
        <v>169</v>
      </c>
      <c r="L23" s="2" t="s">
        <v>197</v>
      </c>
    </row>
    <row r="24" spans="1:12" ht="15.95" customHeight="1">
      <c r="A24" s="6" t="s">
        <v>40</v>
      </c>
      <c r="B24" s="6" t="s">
        <v>39</v>
      </c>
      <c r="C24" s="6" t="s">
        <v>41</v>
      </c>
      <c r="D24" s="6" t="s">
        <v>164</v>
      </c>
      <c r="E24" s="7">
        <v>61</v>
      </c>
      <c r="F24" s="16">
        <v>9200</v>
      </c>
      <c r="G24" s="17">
        <v>561</v>
      </c>
      <c r="H24" s="11" t="s">
        <v>165</v>
      </c>
      <c r="I24" s="6" t="s">
        <v>195</v>
      </c>
      <c r="J24" s="6" t="s">
        <v>177</v>
      </c>
      <c r="K24" s="6" t="s">
        <v>157</v>
      </c>
      <c r="L24" s="6" t="s">
        <v>198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" customWidth="1"/>
    <col min="2" max="3" width="22" customWidth="1"/>
    <col min="4" max="4" width="20" customWidth="1"/>
    <col min="5" max="6" width="12" customWidth="1"/>
    <col min="7" max="7" width="18" customWidth="1"/>
    <col min="8" max="8" width="13" customWidth="1"/>
    <col min="9" max="9" width="20" customWidth="1"/>
    <col min="10" max="10" width="10" customWidth="1"/>
    <col min="11" max="11" width="18" customWidth="1"/>
  </cols>
  <sheetData>
    <row r="1" spans="1:11" ht="27.95" customHeight="1">
      <c r="A1" s="34" t="s">
        <v>199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5.95" customHeight="1">
      <c r="A2" s="33" t="s">
        <v>200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>
      <c r="A4" s="1" t="s">
        <v>201</v>
      </c>
      <c r="B4" s="1" t="s">
        <v>202</v>
      </c>
      <c r="C4" s="1" t="s">
        <v>203</v>
      </c>
      <c r="D4" s="1" t="s">
        <v>204</v>
      </c>
      <c r="E4" s="1" t="s">
        <v>205</v>
      </c>
      <c r="F4" s="1" t="s">
        <v>206</v>
      </c>
      <c r="G4" s="1" t="s">
        <v>207</v>
      </c>
      <c r="H4" s="1" t="s">
        <v>208</v>
      </c>
      <c r="I4" s="1" t="s">
        <v>209</v>
      </c>
      <c r="J4" s="1" t="s">
        <v>210</v>
      </c>
      <c r="K4" s="1" t="s">
        <v>211</v>
      </c>
    </row>
    <row r="5" spans="1:11" ht="17.100000000000001" customHeight="1">
      <c r="A5" s="3" t="s">
        <v>212</v>
      </c>
      <c r="B5" s="19">
        <v>1082</v>
      </c>
      <c r="C5" s="19">
        <v>737</v>
      </c>
      <c r="D5" s="20">
        <v>68.2</v>
      </c>
      <c r="E5" s="3">
        <v>412</v>
      </c>
      <c r="F5" s="3">
        <v>72</v>
      </c>
      <c r="G5" s="3">
        <v>58</v>
      </c>
      <c r="H5" s="3">
        <v>134</v>
      </c>
      <c r="I5" s="19">
        <v>22.1</v>
      </c>
      <c r="J5" s="21">
        <v>4.8</v>
      </c>
      <c r="K5" s="3">
        <v>187</v>
      </c>
    </row>
    <row r="6" spans="1:11" ht="17.100000000000001" customHeight="1">
      <c r="A6" s="13" t="s">
        <v>213</v>
      </c>
      <c r="B6" s="22">
        <v>1098</v>
      </c>
      <c r="C6" s="22">
        <v>769</v>
      </c>
      <c r="D6" s="23">
        <v>70.099999999999994</v>
      </c>
      <c r="E6" s="13">
        <v>428</v>
      </c>
      <c r="F6" s="13">
        <v>70</v>
      </c>
      <c r="G6" s="13">
        <v>54</v>
      </c>
      <c r="H6" s="13">
        <v>128</v>
      </c>
      <c r="I6" s="22">
        <v>21.4</v>
      </c>
      <c r="J6" s="21">
        <v>4.7</v>
      </c>
      <c r="K6" s="13">
        <v>175</v>
      </c>
    </row>
    <row r="7" spans="1:11" ht="17.100000000000001" customHeight="1">
      <c r="A7" s="3" t="s">
        <v>214</v>
      </c>
      <c r="B7" s="19">
        <v>1054</v>
      </c>
      <c r="C7" s="19">
        <v>693</v>
      </c>
      <c r="D7" s="20">
        <v>65.8</v>
      </c>
      <c r="E7" s="3">
        <v>389</v>
      </c>
      <c r="F7" s="3">
        <v>68</v>
      </c>
      <c r="G7" s="3">
        <v>71</v>
      </c>
      <c r="H7" s="3">
        <v>152</v>
      </c>
      <c r="I7" s="19">
        <v>23.8</v>
      </c>
      <c r="J7" s="24">
        <v>5.0999999999999996</v>
      </c>
      <c r="K7" s="3">
        <v>198</v>
      </c>
    </row>
    <row r="8" spans="1:11" ht="17.100000000000001" customHeight="1">
      <c r="A8" s="13" t="s">
        <v>215</v>
      </c>
      <c r="B8" s="22">
        <v>1115</v>
      </c>
      <c r="C8" s="22">
        <v>796</v>
      </c>
      <c r="D8" s="23">
        <v>71.400000000000006</v>
      </c>
      <c r="E8" s="13">
        <v>445</v>
      </c>
      <c r="F8" s="13">
        <v>73</v>
      </c>
      <c r="G8" s="13">
        <v>49</v>
      </c>
      <c r="H8" s="13">
        <v>119</v>
      </c>
      <c r="I8" s="22">
        <v>20.6</v>
      </c>
      <c r="J8" s="21">
        <v>4.5999999999999996</v>
      </c>
      <c r="K8" s="13">
        <v>162</v>
      </c>
    </row>
    <row r="9" spans="1:11" ht="17.100000000000001" customHeight="1">
      <c r="A9" s="3" t="s">
        <v>216</v>
      </c>
      <c r="B9" s="19">
        <v>1128</v>
      </c>
      <c r="C9" s="19">
        <v>826</v>
      </c>
      <c r="D9" s="23">
        <v>73.2</v>
      </c>
      <c r="E9" s="3">
        <v>461</v>
      </c>
      <c r="F9" s="3">
        <v>74</v>
      </c>
      <c r="G9" s="3">
        <v>46</v>
      </c>
      <c r="H9" s="3">
        <v>112</v>
      </c>
      <c r="I9" s="19">
        <v>19.8</v>
      </c>
      <c r="J9" s="21">
        <v>4.5</v>
      </c>
      <c r="K9" s="3">
        <v>154</v>
      </c>
    </row>
    <row r="10" spans="1:11" ht="17.100000000000001" customHeight="1">
      <c r="A10" s="13" t="s">
        <v>217</v>
      </c>
      <c r="B10" s="22">
        <v>1141</v>
      </c>
      <c r="C10" s="22">
        <v>864</v>
      </c>
      <c r="D10" s="25">
        <v>75.8</v>
      </c>
      <c r="E10" s="13">
        <v>472</v>
      </c>
      <c r="F10" s="13">
        <v>75</v>
      </c>
      <c r="G10" s="13">
        <v>43</v>
      </c>
      <c r="H10" s="13">
        <v>108</v>
      </c>
      <c r="I10" s="22">
        <v>19.2</v>
      </c>
      <c r="J10" s="26">
        <v>4.4000000000000004</v>
      </c>
      <c r="K10" s="13">
        <v>148</v>
      </c>
    </row>
    <row r="11" spans="1:11" ht="17.100000000000001" customHeight="1">
      <c r="A11" s="3" t="s">
        <v>218</v>
      </c>
      <c r="B11" s="19">
        <v>1158</v>
      </c>
      <c r="C11" s="19">
        <v>884</v>
      </c>
      <c r="D11" s="25">
        <v>76.3</v>
      </c>
      <c r="E11" s="3">
        <v>481</v>
      </c>
      <c r="F11" s="3">
        <v>76</v>
      </c>
      <c r="G11" s="3">
        <v>41</v>
      </c>
      <c r="H11" s="3">
        <v>104</v>
      </c>
      <c r="I11" s="19">
        <v>18.899999999999999</v>
      </c>
      <c r="J11" s="26">
        <v>4.3</v>
      </c>
      <c r="K11" s="3">
        <v>143</v>
      </c>
    </row>
    <row r="12" spans="1:11" ht="17.100000000000001" customHeight="1">
      <c r="A12" s="13" t="s">
        <v>219</v>
      </c>
      <c r="B12" s="22">
        <v>1174</v>
      </c>
      <c r="C12" s="22">
        <v>921</v>
      </c>
      <c r="D12" s="25">
        <v>78.400000000000006</v>
      </c>
      <c r="E12" s="13">
        <v>487</v>
      </c>
      <c r="F12" s="13">
        <v>70</v>
      </c>
      <c r="G12" s="13">
        <v>94</v>
      </c>
      <c r="H12" s="13">
        <v>98</v>
      </c>
      <c r="I12" s="22">
        <v>18.600000000000001</v>
      </c>
      <c r="J12" s="26">
        <v>4.2</v>
      </c>
      <c r="K12" s="13">
        <v>214</v>
      </c>
    </row>
    <row r="13" spans="1:11" ht="17.100000000000001" customHeight="1">
      <c r="A13" s="35" t="s">
        <v>220</v>
      </c>
      <c r="B13" s="27">
        <f>AVERAGE(B5:B12)</f>
        <v>1118.75</v>
      </c>
      <c r="C13" s="27">
        <f>AVERAGE(C5:C12)</f>
        <v>811.25</v>
      </c>
      <c r="D13" s="28">
        <f>AVERAGE(D5:D12)</f>
        <v>72.400000000000006</v>
      </c>
      <c r="E13" s="1">
        <f>AVERAGE(E5:E12)</f>
        <v>446.875</v>
      </c>
      <c r="F13" s="1">
        <f>AVERAGE(F5:F12)</f>
        <v>72.25</v>
      </c>
      <c r="G13" s="1">
        <f>AVERAGE(G5:G12)</f>
        <v>57</v>
      </c>
      <c r="H13" s="1">
        <f>AVERAGE(H5:H12)</f>
        <v>119.375</v>
      </c>
      <c r="I13" s="27">
        <f>AVERAGE(I5:I12)</f>
        <v>20.55</v>
      </c>
      <c r="J13" s="28">
        <f>AVERAGE(J5:J12)</f>
        <v>4.5750000000000002</v>
      </c>
      <c r="K13" s="1">
        <f>AVERAGE(K5:K12)</f>
        <v>172.625</v>
      </c>
    </row>
  </sheetData>
  <mergeCells count="3">
    <mergeCell ref="A2:K2"/>
    <mergeCell ref="A13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" customWidth="1"/>
    <col min="2" max="2" width="16" customWidth="1"/>
    <col min="3" max="8" width="15" customWidth="1"/>
    <col min="9" max="10" width="14" customWidth="1"/>
    <col min="11" max="11" width="16" customWidth="1"/>
    <col min="12" max="12" width="14" customWidth="1"/>
  </cols>
  <sheetData>
    <row r="1" spans="1:12" ht="27.95" customHeight="1">
      <c r="A1" s="34" t="s">
        <v>221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5.95" customHeight="1">
      <c r="A2" s="33" t="s">
        <v>222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>
      <c r="A4" s="1" t="s">
        <v>201</v>
      </c>
      <c r="B4" s="1" t="s">
        <v>6</v>
      </c>
      <c r="C4" s="1" t="s">
        <v>223</v>
      </c>
      <c r="D4" s="1" t="s">
        <v>224</v>
      </c>
      <c r="E4" s="1" t="s">
        <v>225</v>
      </c>
      <c r="F4" s="1" t="s">
        <v>226</v>
      </c>
      <c r="G4" s="1" t="s">
        <v>227</v>
      </c>
      <c r="H4" s="1" t="s">
        <v>228</v>
      </c>
      <c r="I4" s="1" t="s">
        <v>229</v>
      </c>
      <c r="J4" s="1" t="s">
        <v>230</v>
      </c>
      <c r="K4" s="1" t="s">
        <v>231</v>
      </c>
      <c r="L4" s="1" t="s">
        <v>232</v>
      </c>
    </row>
    <row r="5" spans="1:12" ht="15.95" customHeight="1">
      <c r="A5" s="2" t="s">
        <v>219</v>
      </c>
      <c r="B5" s="2" t="s">
        <v>17</v>
      </c>
      <c r="C5" s="3">
        <v>812</v>
      </c>
      <c r="D5" s="19">
        <v>34.1</v>
      </c>
      <c r="E5" s="3">
        <v>324</v>
      </c>
      <c r="F5" s="19">
        <v>28.6</v>
      </c>
      <c r="G5" s="3">
        <v>198</v>
      </c>
      <c r="H5" s="19">
        <v>22.4</v>
      </c>
      <c r="I5" s="3">
        <v>89</v>
      </c>
      <c r="J5" s="19">
        <v>18.2</v>
      </c>
      <c r="K5" s="21">
        <v>11.8</v>
      </c>
      <c r="L5" s="21">
        <v>79.2</v>
      </c>
    </row>
    <row r="6" spans="1:12" ht="15.95" customHeight="1">
      <c r="A6" s="6" t="s">
        <v>219</v>
      </c>
      <c r="B6" s="6" t="s">
        <v>25</v>
      </c>
      <c r="C6" s="13">
        <v>245</v>
      </c>
      <c r="D6" s="22">
        <v>52.3</v>
      </c>
      <c r="E6" s="13">
        <v>118</v>
      </c>
      <c r="F6" s="22">
        <v>38.700000000000003</v>
      </c>
      <c r="G6" s="13">
        <v>76</v>
      </c>
      <c r="H6" s="22">
        <v>44.1</v>
      </c>
      <c r="I6" s="13">
        <v>34</v>
      </c>
      <c r="J6" s="22">
        <v>38.6</v>
      </c>
      <c r="K6" s="21">
        <v>10.4</v>
      </c>
      <c r="L6" s="24">
        <v>74.099999999999994</v>
      </c>
    </row>
    <row r="7" spans="1:12" ht="15.95" customHeight="1">
      <c r="A7" s="2" t="s">
        <v>219</v>
      </c>
      <c r="B7" s="2" t="s">
        <v>34</v>
      </c>
      <c r="C7" s="3">
        <v>412</v>
      </c>
      <c r="D7" s="19">
        <v>8.1999999999999993</v>
      </c>
      <c r="E7" s="3">
        <v>187</v>
      </c>
      <c r="F7" s="19">
        <v>6.4</v>
      </c>
      <c r="G7" s="3">
        <v>98</v>
      </c>
      <c r="H7" s="19">
        <v>5.0999999999999996</v>
      </c>
      <c r="I7" s="3">
        <v>28</v>
      </c>
      <c r="J7" s="19">
        <v>3.8</v>
      </c>
      <c r="K7" s="26">
        <v>9.1999999999999993</v>
      </c>
      <c r="L7" s="26">
        <v>88.1</v>
      </c>
    </row>
    <row r="8" spans="1:12" ht="15.95" customHeight="1">
      <c r="A8" s="6" t="s">
        <v>219</v>
      </c>
      <c r="B8" s="6" t="s">
        <v>41</v>
      </c>
      <c r="C8" s="13">
        <v>618</v>
      </c>
      <c r="D8" s="22">
        <v>5.4</v>
      </c>
      <c r="E8" s="13">
        <v>298</v>
      </c>
      <c r="F8" s="22">
        <v>3.8</v>
      </c>
      <c r="G8" s="13">
        <v>142</v>
      </c>
      <c r="H8" s="22">
        <v>2.6</v>
      </c>
      <c r="I8" s="13">
        <v>52</v>
      </c>
      <c r="J8" s="22">
        <v>1.8</v>
      </c>
      <c r="K8" s="24">
        <v>12.6</v>
      </c>
      <c r="L8" s="21">
        <v>82.4</v>
      </c>
    </row>
    <row r="9" spans="1:12" ht="15.95" customHeight="1">
      <c r="A9" s="2" t="s">
        <v>219</v>
      </c>
      <c r="B9" s="2" t="s">
        <v>49</v>
      </c>
      <c r="C9" s="3">
        <v>198</v>
      </c>
      <c r="D9" s="19">
        <v>48.7</v>
      </c>
      <c r="E9" s="3">
        <v>112</v>
      </c>
      <c r="F9" s="19">
        <v>38.1</v>
      </c>
      <c r="G9" s="3">
        <v>87</v>
      </c>
      <c r="H9" s="19">
        <v>41.2</v>
      </c>
      <c r="I9" s="3">
        <v>45</v>
      </c>
      <c r="J9" s="19">
        <v>48.2</v>
      </c>
      <c r="K9" s="24">
        <v>13.4</v>
      </c>
      <c r="L9" s="24">
        <v>68.900000000000006</v>
      </c>
    </row>
    <row r="10" spans="1:12" ht="15.95" customHeight="1">
      <c r="A10" s="6" t="s">
        <v>218</v>
      </c>
      <c r="B10" s="6" t="s">
        <v>17</v>
      </c>
      <c r="C10" s="13">
        <v>798</v>
      </c>
      <c r="D10" s="22">
        <v>33.4</v>
      </c>
      <c r="E10" s="13">
        <v>318</v>
      </c>
      <c r="F10" s="22">
        <v>27.9</v>
      </c>
      <c r="G10" s="13">
        <v>188</v>
      </c>
      <c r="H10" s="22">
        <v>21.2</v>
      </c>
      <c r="I10" s="13">
        <v>82</v>
      </c>
      <c r="J10" s="22">
        <v>16.8</v>
      </c>
      <c r="K10" s="21">
        <v>10.199999999999999</v>
      </c>
      <c r="L10" s="21">
        <v>80.099999999999994</v>
      </c>
    </row>
    <row r="11" spans="1:12" ht="15.95" customHeight="1">
      <c r="A11" s="2" t="s">
        <v>218</v>
      </c>
      <c r="B11" s="2" t="s">
        <v>25</v>
      </c>
      <c r="C11" s="3">
        <v>238</v>
      </c>
      <c r="D11" s="19">
        <v>50.8</v>
      </c>
      <c r="E11" s="3">
        <v>112</v>
      </c>
      <c r="F11" s="19">
        <v>36.9</v>
      </c>
      <c r="G11" s="3">
        <v>72</v>
      </c>
      <c r="H11" s="19">
        <v>41.8</v>
      </c>
      <c r="I11" s="3">
        <v>31</v>
      </c>
      <c r="J11" s="19">
        <v>35.200000000000003</v>
      </c>
      <c r="K11" s="26">
        <v>9.8000000000000007</v>
      </c>
      <c r="L11" s="21">
        <v>75.400000000000006</v>
      </c>
    </row>
    <row r="12" spans="1:12" ht="15.95" customHeight="1">
      <c r="A12" s="6" t="s">
        <v>218</v>
      </c>
      <c r="B12" s="6" t="s">
        <v>34</v>
      </c>
      <c r="C12" s="13">
        <v>408</v>
      </c>
      <c r="D12" s="22">
        <v>8</v>
      </c>
      <c r="E12" s="13">
        <v>181</v>
      </c>
      <c r="F12" s="22">
        <v>6.2</v>
      </c>
      <c r="G12" s="13">
        <v>92</v>
      </c>
      <c r="H12" s="22">
        <v>4.8</v>
      </c>
      <c r="I12" s="13">
        <v>24</v>
      </c>
      <c r="J12" s="22">
        <v>3.4</v>
      </c>
      <c r="K12" s="26">
        <v>8.8000000000000007</v>
      </c>
      <c r="L12" s="26">
        <v>89.2</v>
      </c>
    </row>
    <row r="13" spans="1:12" ht="15.95" customHeight="1">
      <c r="A13" s="2" t="s">
        <v>218</v>
      </c>
      <c r="B13" s="2" t="s">
        <v>41</v>
      </c>
      <c r="C13" s="3">
        <v>605</v>
      </c>
      <c r="D13" s="19">
        <v>5.2</v>
      </c>
      <c r="E13" s="3">
        <v>289</v>
      </c>
      <c r="F13" s="19">
        <v>3.6</v>
      </c>
      <c r="G13" s="3">
        <v>136</v>
      </c>
      <c r="H13" s="19">
        <v>2.4</v>
      </c>
      <c r="I13" s="3">
        <v>48</v>
      </c>
      <c r="J13" s="19">
        <v>1.6</v>
      </c>
      <c r="K13" s="21">
        <v>11.8</v>
      </c>
      <c r="L13" s="21">
        <v>83.6</v>
      </c>
    </row>
    <row r="14" spans="1:12" ht="15.95" customHeight="1">
      <c r="A14" s="6" t="s">
        <v>218</v>
      </c>
      <c r="B14" s="6" t="s">
        <v>49</v>
      </c>
      <c r="C14" s="13">
        <v>192</v>
      </c>
      <c r="D14" s="22">
        <v>47.2</v>
      </c>
      <c r="E14" s="13">
        <v>108</v>
      </c>
      <c r="F14" s="22">
        <v>36.799999999999997</v>
      </c>
      <c r="G14" s="13">
        <v>82</v>
      </c>
      <c r="H14" s="22">
        <v>39.4</v>
      </c>
      <c r="I14" s="13">
        <v>42</v>
      </c>
      <c r="J14" s="22">
        <v>45.8</v>
      </c>
      <c r="K14" s="24">
        <v>12.6</v>
      </c>
      <c r="L14" s="24">
        <v>70.2</v>
      </c>
    </row>
    <row r="15" spans="1:12" ht="15.95" customHeight="1">
      <c r="A15" s="2" t="s">
        <v>217</v>
      </c>
      <c r="B15" s="2" t="s">
        <v>17</v>
      </c>
      <c r="C15" s="3">
        <v>782</v>
      </c>
      <c r="D15" s="19">
        <v>32.799999999999997</v>
      </c>
      <c r="E15" s="3">
        <v>308</v>
      </c>
      <c r="F15" s="19">
        <v>27.2</v>
      </c>
      <c r="G15" s="3">
        <v>178</v>
      </c>
      <c r="H15" s="19">
        <v>20.100000000000001</v>
      </c>
      <c r="I15" s="3">
        <v>76</v>
      </c>
      <c r="J15" s="19">
        <v>15.4</v>
      </c>
      <c r="K15" s="26">
        <v>9.8000000000000007</v>
      </c>
      <c r="L15" s="21">
        <v>81.2</v>
      </c>
    </row>
    <row r="16" spans="1:12" ht="15.95" customHeight="1">
      <c r="A16" s="6" t="s">
        <v>217</v>
      </c>
      <c r="B16" s="6" t="s">
        <v>25</v>
      </c>
      <c r="C16" s="13">
        <v>231</v>
      </c>
      <c r="D16" s="22">
        <v>49.4</v>
      </c>
      <c r="E16" s="13">
        <v>108</v>
      </c>
      <c r="F16" s="22">
        <v>35.4</v>
      </c>
      <c r="G16" s="13">
        <v>68</v>
      </c>
      <c r="H16" s="22">
        <v>39.799999999999997</v>
      </c>
      <c r="I16" s="13">
        <v>28</v>
      </c>
      <c r="J16" s="22">
        <v>32.4</v>
      </c>
      <c r="K16" s="26">
        <v>9.1999999999999993</v>
      </c>
      <c r="L16" s="21">
        <v>76.8</v>
      </c>
    </row>
    <row r="17" spans="1:12" ht="15.95" customHeight="1">
      <c r="A17" s="2" t="s">
        <v>217</v>
      </c>
      <c r="B17" s="2" t="s">
        <v>34</v>
      </c>
      <c r="C17" s="3">
        <v>402</v>
      </c>
      <c r="D17" s="19">
        <v>7.8</v>
      </c>
      <c r="E17" s="3">
        <v>174</v>
      </c>
      <c r="F17" s="19">
        <v>5.9</v>
      </c>
      <c r="G17" s="3">
        <v>88</v>
      </c>
      <c r="H17" s="19">
        <v>4.5999999999999996</v>
      </c>
      <c r="I17" s="3">
        <v>21</v>
      </c>
      <c r="J17" s="19">
        <v>3.1</v>
      </c>
      <c r="K17" s="26">
        <v>8.1999999999999993</v>
      </c>
      <c r="L17" s="26">
        <v>90.4</v>
      </c>
    </row>
    <row r="18" spans="1:12" ht="15.95" customHeight="1">
      <c r="A18" s="6" t="s">
        <v>217</v>
      </c>
      <c r="B18" s="6" t="s">
        <v>41</v>
      </c>
      <c r="C18" s="13">
        <v>594</v>
      </c>
      <c r="D18" s="22">
        <v>5</v>
      </c>
      <c r="E18" s="13">
        <v>282</v>
      </c>
      <c r="F18" s="22">
        <v>3.4</v>
      </c>
      <c r="G18" s="13">
        <v>129</v>
      </c>
      <c r="H18" s="22">
        <v>2.2000000000000002</v>
      </c>
      <c r="I18" s="13">
        <v>44</v>
      </c>
      <c r="J18" s="22">
        <v>1.4</v>
      </c>
      <c r="K18" s="21">
        <v>10.8</v>
      </c>
      <c r="L18" s="21">
        <v>84.8</v>
      </c>
    </row>
    <row r="19" spans="1:12" ht="15.95" customHeight="1">
      <c r="A19" s="2" t="s">
        <v>217</v>
      </c>
      <c r="B19" s="2" t="s">
        <v>49</v>
      </c>
      <c r="C19" s="3">
        <v>186</v>
      </c>
      <c r="D19" s="19">
        <v>46</v>
      </c>
      <c r="E19" s="3">
        <v>104</v>
      </c>
      <c r="F19" s="19">
        <v>35.200000000000003</v>
      </c>
      <c r="G19" s="3">
        <v>78</v>
      </c>
      <c r="H19" s="19">
        <v>37.799999999999997</v>
      </c>
      <c r="I19" s="3">
        <v>39</v>
      </c>
      <c r="J19" s="19">
        <v>43.2</v>
      </c>
      <c r="K19" s="21">
        <v>11.8</v>
      </c>
      <c r="L19" s="24">
        <v>71.8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8" customWidth="1"/>
    <col min="5" max="5" width="35" customWidth="1"/>
    <col min="6" max="6" width="22" customWidth="1"/>
    <col min="7" max="7" width="18" customWidth="1"/>
    <col min="8" max="9" width="16" customWidth="1"/>
    <col min="10" max="10" width="14" customWidth="1"/>
    <col min="11" max="11" width="13" customWidth="1"/>
  </cols>
  <sheetData>
    <row r="1" spans="1:11" ht="27.95" customHeight="1">
      <c r="A1" s="34" t="s">
        <v>233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5.95" customHeight="1">
      <c r="A2" s="33" t="s">
        <v>234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>
      <c r="A4" s="1" t="s">
        <v>235</v>
      </c>
      <c r="B4" s="1" t="s">
        <v>236</v>
      </c>
      <c r="C4" s="1" t="s">
        <v>237</v>
      </c>
      <c r="D4" s="1" t="s">
        <v>238</v>
      </c>
      <c r="E4" s="1" t="s">
        <v>239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</row>
    <row r="5" spans="1:11" ht="27.95" customHeight="1">
      <c r="A5" s="2" t="s">
        <v>246</v>
      </c>
      <c r="B5" s="2" t="s">
        <v>190</v>
      </c>
      <c r="C5" s="2">
        <v>1923</v>
      </c>
      <c r="D5" s="19">
        <v>48.7</v>
      </c>
      <c r="E5" s="29" t="s">
        <v>247</v>
      </c>
      <c r="F5" s="2" t="s">
        <v>248</v>
      </c>
      <c r="G5" s="30" t="s">
        <v>249</v>
      </c>
      <c r="H5" s="30">
        <v>92</v>
      </c>
      <c r="I5" s="2">
        <v>90</v>
      </c>
      <c r="J5" s="5" t="s">
        <v>250</v>
      </c>
      <c r="K5" s="2" t="s">
        <v>251</v>
      </c>
    </row>
    <row r="6" spans="1:11" ht="27.95" customHeight="1">
      <c r="A6" s="6" t="s">
        <v>252</v>
      </c>
      <c r="B6" s="6" t="s">
        <v>180</v>
      </c>
      <c r="C6" s="6">
        <v>837</v>
      </c>
      <c r="D6" s="22">
        <v>31.4</v>
      </c>
      <c r="E6" s="31" t="s">
        <v>253</v>
      </c>
      <c r="F6" s="6" t="s">
        <v>254</v>
      </c>
      <c r="G6" s="32" t="s">
        <v>255</v>
      </c>
      <c r="H6" s="32">
        <v>78</v>
      </c>
      <c r="I6" s="6">
        <v>74</v>
      </c>
      <c r="J6" s="18" t="s">
        <v>256</v>
      </c>
      <c r="K6" s="6" t="s">
        <v>257</v>
      </c>
    </row>
    <row r="7" spans="1:11" ht="27.95" customHeight="1">
      <c r="A7" s="2" t="s">
        <v>258</v>
      </c>
      <c r="B7" s="2" t="s">
        <v>164</v>
      </c>
      <c r="C7" s="2">
        <v>445</v>
      </c>
      <c r="D7" s="19">
        <v>22.8</v>
      </c>
      <c r="E7" s="29" t="s">
        <v>259</v>
      </c>
      <c r="F7" s="2" t="s">
        <v>260</v>
      </c>
      <c r="G7" s="30" t="s">
        <v>261</v>
      </c>
      <c r="H7" s="30">
        <v>61</v>
      </c>
      <c r="I7" s="2">
        <v>58</v>
      </c>
      <c r="J7" s="11" t="s">
        <v>262</v>
      </c>
      <c r="K7" s="2" t="s">
        <v>263</v>
      </c>
    </row>
    <row r="8" spans="1:11" ht="27.95" customHeight="1">
      <c r="A8" s="6" t="s">
        <v>264</v>
      </c>
      <c r="B8" s="6" t="s">
        <v>265</v>
      </c>
      <c r="C8" s="6">
        <v>178</v>
      </c>
      <c r="D8" s="22">
        <v>14.2</v>
      </c>
      <c r="E8" s="31" t="s">
        <v>266</v>
      </c>
      <c r="F8" s="6" t="s">
        <v>267</v>
      </c>
      <c r="G8" s="32" t="s">
        <v>268</v>
      </c>
      <c r="H8" s="32">
        <v>38</v>
      </c>
      <c r="I8" s="6">
        <v>34</v>
      </c>
      <c r="J8" s="9" t="s">
        <v>269</v>
      </c>
      <c r="K8" s="6" t="s">
        <v>270</v>
      </c>
    </row>
    <row r="9" spans="1:11" ht="27.95" customHeight="1">
      <c r="A9" s="2" t="s">
        <v>271</v>
      </c>
      <c r="B9" s="2" t="s">
        <v>272</v>
      </c>
      <c r="C9" s="2">
        <v>40</v>
      </c>
      <c r="D9" s="19">
        <v>4</v>
      </c>
      <c r="E9" s="29" t="s">
        <v>273</v>
      </c>
      <c r="F9" s="2" t="s">
        <v>274</v>
      </c>
      <c r="G9" s="30" t="s">
        <v>275</v>
      </c>
      <c r="H9" s="30">
        <v>22</v>
      </c>
      <c r="I9" s="2">
        <v>18</v>
      </c>
      <c r="J9" s="9" t="s">
        <v>154</v>
      </c>
      <c r="K9" s="2" t="s">
        <v>276</v>
      </c>
    </row>
    <row r="10" spans="1:11" ht="27.95" customHeight="1">
      <c r="A10" s="6" t="s">
        <v>277</v>
      </c>
      <c r="B10" s="6" t="s">
        <v>278</v>
      </c>
      <c r="C10" s="6">
        <v>487</v>
      </c>
      <c r="D10" s="22">
        <v>23.6</v>
      </c>
      <c r="E10" s="31" t="s">
        <v>279</v>
      </c>
      <c r="F10" s="6" t="s">
        <v>280</v>
      </c>
      <c r="G10" s="32" t="s">
        <v>281</v>
      </c>
      <c r="H10" s="32">
        <v>70</v>
      </c>
      <c r="I10" s="6">
        <v>70</v>
      </c>
      <c r="J10" s="5" t="s">
        <v>250</v>
      </c>
      <c r="K10" s="6" t="s">
        <v>282</v>
      </c>
    </row>
    <row r="11" spans="1:11" ht="27.95" customHeight="1">
      <c r="A11" s="2" t="s">
        <v>84</v>
      </c>
      <c r="B11" s="2" t="s">
        <v>278</v>
      </c>
      <c r="C11" s="2">
        <v>146</v>
      </c>
      <c r="D11" s="19">
        <v>12.8</v>
      </c>
      <c r="E11" s="29" t="s">
        <v>283</v>
      </c>
      <c r="F11" s="2" t="s">
        <v>284</v>
      </c>
      <c r="G11" s="30" t="s">
        <v>285</v>
      </c>
      <c r="H11" s="30">
        <v>55</v>
      </c>
      <c r="I11" s="2">
        <v>48</v>
      </c>
      <c r="J11" s="11" t="s">
        <v>262</v>
      </c>
      <c r="K11" s="2" t="s">
        <v>286</v>
      </c>
    </row>
    <row r="12" spans="1:11" ht="27.95" customHeight="1">
      <c r="A12" s="6" t="s">
        <v>287</v>
      </c>
      <c r="B12" s="6" t="s">
        <v>288</v>
      </c>
      <c r="C12" s="6">
        <v>126</v>
      </c>
      <c r="D12" s="22">
        <v>11.5</v>
      </c>
      <c r="E12" s="31" t="s">
        <v>289</v>
      </c>
      <c r="F12" s="6" t="s">
        <v>290</v>
      </c>
      <c r="G12" s="32" t="s">
        <v>291</v>
      </c>
      <c r="H12" s="32">
        <v>88</v>
      </c>
      <c r="I12" s="6">
        <v>88</v>
      </c>
      <c r="J12" s="5" t="s">
        <v>250</v>
      </c>
      <c r="K12" s="6" t="s">
        <v>257</v>
      </c>
    </row>
    <row r="13" spans="1:11" ht="27.95" customHeight="1">
      <c r="A13" s="2" t="s">
        <v>292</v>
      </c>
      <c r="B13" s="2" t="s">
        <v>288</v>
      </c>
      <c r="C13" s="2">
        <v>87</v>
      </c>
      <c r="D13" s="19">
        <v>38.1</v>
      </c>
      <c r="E13" s="29" t="s">
        <v>293</v>
      </c>
      <c r="F13" s="2" t="s">
        <v>294</v>
      </c>
      <c r="G13" s="30" t="s">
        <v>295</v>
      </c>
      <c r="H13" s="30">
        <v>65</v>
      </c>
      <c r="I13" s="2">
        <v>60</v>
      </c>
      <c r="J13" s="18" t="s">
        <v>256</v>
      </c>
      <c r="K13" s="2" t="s">
        <v>296</v>
      </c>
    </row>
    <row r="14" spans="1:11" ht="27.95" customHeight="1">
      <c r="A14" s="6" t="s">
        <v>297</v>
      </c>
      <c r="B14" s="6" t="s">
        <v>278</v>
      </c>
      <c r="C14" s="6">
        <v>42</v>
      </c>
      <c r="D14" s="22">
        <v>51.8</v>
      </c>
      <c r="E14" s="31" t="s">
        <v>298</v>
      </c>
      <c r="F14" s="6" t="s">
        <v>299</v>
      </c>
      <c r="G14" s="32" t="s">
        <v>299</v>
      </c>
      <c r="H14" s="32">
        <v>74</v>
      </c>
      <c r="I14" s="6">
        <v>68</v>
      </c>
      <c r="J14" s="11" t="s">
        <v>262</v>
      </c>
      <c r="K14" s="6" t="s">
        <v>300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2026-06-03T02:59:06Z</dcterms:created>
  <dcterms:modified xsi:type="dcterms:W3CDTF">2026-06-03T04:44:19Z</dcterms:modified>
  <cp:category/>
  <cp:contentStatus/>
</cp:coreProperties>
</file>